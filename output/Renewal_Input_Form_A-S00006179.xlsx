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newal Input Form" sheetId="1" state="visible" r:id="rId1"/>
    <sheet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$#,##0.0000"/>
    <numFmt numFmtId="165" formatCode="$#,##0"/>
    <numFmt numFmtId="166" formatCode="$#,##0.00"/>
    <numFmt numFmtId="167" formatCode="yyyy-mm-dd"/>
    <numFmt numFmtId="168" formatCode="DD-MMM-YYYY"/>
    <numFmt numFmtId="169" formatCode="0.0000%"/>
    <numFmt numFmtId="170" formatCode="$#,##0.000000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8"/>
    </font>
    <font>
      <name val="Arial"/>
      <sz val="9"/>
    </font>
    <font>
      <name val="Arial"/>
      <b val="1"/>
      <sz val="9"/>
    </font>
  </fonts>
  <fills count="5">
    <fill>
      <patternFill/>
    </fill>
    <fill>
      <patternFill patternType="gray125"/>
    </fill>
    <fill>
      <patternFill patternType="solid">
        <fgColor rgb="000064FF"/>
      </patternFill>
    </fill>
    <fill>
      <patternFill patternType="solid">
        <fgColor rgb="007D7D7D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0" fillId="0" borderId="1" pivotButton="0" quotePrefix="0" xfId="0"/>
    <xf numFmtId="164" fontId="2" fillId="0" borderId="1" pivotButton="0" quotePrefix="0" xfId="0"/>
    <xf numFmtId="3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8" fontId="2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166" fontId="3" fillId="0" borderId="1" pivotButton="0" quotePrefix="0" xfId="0"/>
    <xf numFmtId="10" fontId="2" fillId="0" borderId="1" pivotButton="0" quotePrefix="0" xfId="0"/>
    <xf numFmtId="10" fontId="3" fillId="0" borderId="1" pivotButton="0" quotePrefix="0" xfId="0"/>
    <xf numFmtId="0" fontId="3" fillId="4" borderId="1" pivotButton="0" quotePrefix="0" xfId="0"/>
    <xf numFmtId="0" fontId="0" fillId="4" borderId="1" pivotButton="0" quotePrefix="0" xfId="0"/>
    <xf numFmtId="166" fontId="3" fillId="4" borderId="1" pivotButton="0" quotePrefix="0" xfId="0"/>
    <xf numFmtId="0" fontId="1" fillId="2" borderId="1" pivotButton="0" quotePrefix="0" xfId="0"/>
    <xf numFmtId="0" fontId="3" fillId="0" borderId="1" pivotButton="0" quotePrefix="0" xfId="0"/>
    <xf numFmtId="168" fontId="3" fillId="0" borderId="1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6" customWidth="1" min="7" max="7"/>
    <col width="20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40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50" customWidth="1" min="87" max="87"/>
  </cols>
  <sheetData>
    <row r="1" ht="42" customHeight="1">
      <c r="A1" s="1" t="inlineStr">
        <is>
          <t>Product (Marketing Schedule)</t>
        </is>
      </c>
      <c r="B1" s="1" t="inlineStr">
        <is>
          <t>Product Number</t>
        </is>
      </c>
      <c r="C1" s="1" t="inlineStr">
        <is>
          <t>Charge Number</t>
        </is>
      </c>
      <c r="D1" s="1" t="inlineStr">
        <is>
          <t>Subscription Number</t>
        </is>
      </c>
      <c r="E1" s="1" t="inlineStr">
        <is>
          <t>Status</t>
        </is>
      </c>
      <c r="F1" s="1" t="inlineStr">
        <is>
          <t>PL</t>
        </is>
      </c>
      <c r="G1" s="1" t="inlineStr">
        <is>
          <t>Product Family</t>
        </is>
      </c>
      <c r="H1" s="1" t="inlineStr">
        <is>
          <t>UoM</t>
        </is>
      </c>
      <c r="I1" s="1" t="inlineStr">
        <is>
          <t xml:space="preserve">BMC Base List Price </t>
        </is>
      </c>
      <c r="J1" s="1" t="inlineStr">
        <is>
          <t>Partner Discounted Price</t>
        </is>
      </c>
      <c r="K1" s="1" t="inlineStr">
        <is>
          <t xml:space="preserve">BMC Base List Price </t>
        </is>
      </c>
      <c r="L1" s="1" t="inlineStr">
        <is>
          <t>Partner Discounted Price</t>
        </is>
      </c>
      <c r="M1" s="1" t="inlineStr">
        <is>
          <t>Perp or OPS   (if applicable)</t>
        </is>
      </c>
      <c r="N1" s="1" t="inlineStr">
        <is>
          <t>Approximate Rate Plan Name 
(ensure correct Revenue/Service Type tags if copying)</t>
        </is>
      </c>
      <c r="O1" s="1" t="inlineStr">
        <is>
          <t>PRP Number (ensure correct Serv Type &lt;--)</t>
        </is>
      </c>
      <c r="P1" s="1" t="inlineStr">
        <is>
          <t>Code</t>
        </is>
      </c>
      <c r="Q1" s="1" t="inlineStr">
        <is>
          <t>Existing
Qty</t>
        </is>
      </c>
      <c r="R1" s="1" t="inlineStr">
        <is>
          <t>Proposed
Qty</t>
        </is>
      </c>
      <c r="S1" s="1" t="inlineStr">
        <is>
          <t>Installmt/ Ramp? (edit if needed)</t>
        </is>
      </c>
      <c r="T1" s="1" t="inlineStr"/>
      <c r="U1" s="1" t="inlineStr">
        <is>
          <t>"Att A Unit Cost" (if applicable)</t>
        </is>
      </c>
      <c r="V1" s="1" t="inlineStr">
        <is>
          <t>TRV Override (e.g., Price Capped)</t>
        </is>
      </c>
      <c r="W1" s="1" t="inlineStr">
        <is>
          <t>BRV</t>
        </is>
      </c>
      <c r="X1" s="1" t="inlineStr">
        <is>
          <t>'Hold the Line'
ERV</t>
        </is>
      </c>
      <c r="Y1" s="1" t="inlineStr">
        <is>
          <t>'Anchor Price'
TRV</t>
        </is>
      </c>
      <c r="Z1" s="1" t="inlineStr">
        <is>
          <t>Proposed (incl all discounts)</t>
        </is>
      </c>
      <c r="AA1" s="1" t="inlineStr">
        <is>
          <t>Calculated</t>
        </is>
      </c>
      <c r="AB1" s="1" t="inlineStr">
        <is>
          <t>BRV (ACV)</t>
        </is>
      </c>
      <c r="AC1" s="1" t="inlineStr">
        <is>
          <t>'Hold the Line'
ERV (ACV)</t>
        </is>
      </c>
      <c r="AD1" s="1" t="inlineStr">
        <is>
          <t>'Anchor Price'
TRV (ACV)</t>
        </is>
      </c>
      <c r="AE1" s="1" t="inlineStr">
        <is>
          <t>Proposed (incl all discounts)</t>
        </is>
      </c>
      <c r="AF1" s="1" t="inlineStr">
        <is>
          <t>Calculated</t>
        </is>
      </c>
      <c r="AG1" s="1" t="inlineStr">
        <is>
          <t>On Anchor</t>
        </is>
      </c>
      <c r="AH1" s="1" t="inlineStr">
        <is>
          <t>Calculated</t>
        </is>
      </c>
      <c r="AI1" s="1" t="inlineStr">
        <is>
          <t>Estimated ERV Deviation</t>
        </is>
      </c>
      <c r="AJ1" s="1" t="inlineStr">
        <is>
          <t>Estimated TRV Deviation</t>
        </is>
      </c>
      <c r="AK1" s="1" t="inlineStr">
        <is>
          <t>(BP Use)      "Total Annual List"</t>
        </is>
      </c>
      <c r="AL1" s="1" t="inlineStr">
        <is>
          <t>Start Date</t>
        </is>
      </c>
      <c r="AM1" s="1" t="inlineStr">
        <is>
          <t>End Date</t>
        </is>
      </c>
      <c r="AN1" s="1" t="inlineStr">
        <is>
          <t>Approx. Term in Months</t>
        </is>
      </c>
      <c r="AO1" s="1" t="inlineStr">
        <is>
          <t>Projected Obsolete Date</t>
        </is>
      </c>
      <c r="AP1" s="1" t="inlineStr">
        <is>
          <t>Perp Support Rate</t>
        </is>
      </c>
      <c r="AQ1" s="1" t="inlineStr">
        <is>
          <t>Est. Perp Supp Mthly List Price</t>
        </is>
      </c>
      <c r="AR1" s="1" t="inlineStr">
        <is>
          <t>Hold Disc</t>
        </is>
      </c>
      <c r="AS1" s="1" t="inlineStr">
        <is>
          <t>License
Trans</t>
        </is>
      </c>
      <c r="AT1" s="1" t="inlineStr">
        <is>
          <t>Lic One-Time</t>
        </is>
      </c>
      <c r="AU1" s="1" t="inlineStr">
        <is>
          <t>Total License</t>
        </is>
      </c>
      <c r="AV1" s="1" t="inlineStr">
        <is>
          <t>Supp Trans</t>
        </is>
      </c>
      <c r="AW1" s="1" t="inlineStr">
        <is>
          <t>Supp One-Time</t>
        </is>
      </c>
      <c r="AX1" s="1" t="inlineStr">
        <is>
          <t>License Net Price</t>
        </is>
      </c>
      <c r="AY1" s="1" t="inlineStr">
        <is>
          <t>Support Net Price</t>
        </is>
      </c>
      <c r="AZ1" s="1" t="inlineStr">
        <is>
          <t>Total License</t>
        </is>
      </c>
      <c r="BA1" s="1" t="inlineStr">
        <is>
          <t>Total Support</t>
        </is>
      </c>
      <c r="BB1" s="1" t="inlineStr">
        <is>
          <t>Total</t>
        </is>
      </c>
      <c r="BC1" s="1" t="inlineStr">
        <is>
          <t>orig TRV ACV</t>
        </is>
      </c>
      <c r="BD1" s="1" t="inlineStr">
        <is>
          <t>orig ERV ACV</t>
        </is>
      </c>
      <c r="BE1" s="1" t="inlineStr">
        <is>
          <t>orig term length</t>
        </is>
      </c>
      <c r="BF1" s="1" t="inlineStr">
        <is>
          <t>chosen unit list</t>
        </is>
      </c>
      <c r="BG1" s="1" t="inlineStr">
        <is>
          <t>code</t>
        </is>
      </c>
      <c r="BH1" s="1" t="inlineStr">
        <is>
          <t>sum orig TRV ACV</t>
        </is>
      </c>
      <c r="BI1" s="1" t="inlineStr">
        <is>
          <t>sum exist qty</t>
        </is>
      </c>
      <c r="BJ1" s="1" t="inlineStr">
        <is>
          <t>sum decr qty</t>
        </is>
      </c>
      <c r="BK1" s="1" t="inlineStr">
        <is>
          <t>sum rem qty</t>
        </is>
      </c>
      <c r="BL1" s="1" t="inlineStr">
        <is>
          <t>sum new qty</t>
        </is>
      </c>
      <c r="BM1" s="1" t="inlineStr">
        <is>
          <t>orig TRV ACV unit</t>
        </is>
      </c>
      <c r="BN1" s="1" t="inlineStr">
        <is>
          <t>chosen annual unit list</t>
        </is>
      </c>
      <c r="BO1" s="1" t="inlineStr">
        <is>
          <t>override unit if any</t>
        </is>
      </c>
      <c r="BP1" s="1" t="inlineStr">
        <is>
          <t>new TRV ACV unit</t>
        </is>
      </c>
      <c r="BQ1" s="1" t="inlineStr">
        <is>
          <t>decrease count</t>
        </is>
      </c>
      <c r="BR1" s="1" t="inlineStr">
        <is>
          <t>disc form w vlookup</t>
        </is>
      </c>
      <c r="BS1" s="1" t="inlineStr">
        <is>
          <t>max disc</t>
        </is>
      </c>
      <c r="BT1" s="1" t="inlineStr">
        <is>
          <t>total trans disc</t>
        </is>
      </c>
      <c r="BU1" s="1" t="inlineStr">
        <is>
          <t>disc cap</t>
        </is>
      </c>
      <c r="BV1" s="1" t="inlineStr">
        <is>
          <t>total disc excl ARG</t>
        </is>
      </c>
      <c r="BW1" s="1" t="inlineStr">
        <is>
          <t>orig end date</t>
        </is>
      </c>
      <c r="BX1" s="1" t="inlineStr">
        <is>
          <t>dedup ramp/install qty count</t>
        </is>
      </c>
      <c r="BY1" s="1" t="inlineStr">
        <is>
          <t>dedup ramp/install qty</t>
        </is>
      </c>
      <c r="BZ1" s="1" t="inlineStr">
        <is>
          <t>Obsolete During Period</t>
        </is>
      </c>
      <c r="CA1" s="1" t="inlineStr">
        <is>
          <t>SaaS margin</t>
        </is>
      </c>
      <c r="CB1" s="1" t="inlineStr">
        <is>
          <t>SaaS location</t>
        </is>
      </c>
      <c r="CC1" s="1" t="inlineStr">
        <is>
          <t>SaaS cost code</t>
        </is>
      </c>
      <c r="CD1" s="1" t="inlineStr">
        <is>
          <t>SaaS margin cost</t>
        </is>
      </c>
      <c r="CE1" s="1" t="inlineStr">
        <is>
          <t>deal score type</t>
        </is>
      </c>
      <c r="CF1" s="2" t="inlineStr">
        <is>
          <t>Customer Tier Discount %
(reference only)</t>
        </is>
      </c>
      <c r="CG1" s="2" t="inlineStr">
        <is>
          <t>Additional License Discount %
(on Partner Price, reference only)</t>
        </is>
      </c>
      <c r="CH1" s="2" t="inlineStr">
        <is>
          <t>Effective Discount %
(Tier + License combined = AS)</t>
        </is>
      </c>
      <c r="CI1" s="2" t="inlineStr">
        <is>
          <t>Review Flags
(reference only)</t>
        </is>
      </c>
    </row>
    <row r="2">
      <c r="A2" s="3" t="inlineStr">
        <is>
          <t>BMC Discovery - Resource Unit</t>
        </is>
      </c>
      <c r="B2" s="4" t="n"/>
      <c r="C2" s="4" t="n"/>
      <c r="D2" s="3" t="inlineStr">
        <is>
          <t>A-S00006179</t>
        </is>
      </c>
      <c r="E2" s="3" t="inlineStr">
        <is>
          <t>Generally Available</t>
        </is>
      </c>
      <c r="F2" s="3" t="inlineStr">
        <is>
          <t>ITOM</t>
        </is>
      </c>
      <c r="G2" s="3" t="inlineStr">
        <is>
          <t>ITOM On Prem</t>
        </is>
      </c>
      <c r="H2" s="3" t="inlineStr">
        <is>
          <t>per resource unit</t>
        </is>
      </c>
      <c r="I2" s="4" t="n"/>
      <c r="J2" s="4" t="n"/>
      <c r="K2" s="5" t="n">
        <v>15.57</v>
      </c>
      <c r="L2" s="5" t="n">
        <v>8.563500000000001</v>
      </c>
      <c r="M2" s="3" t="inlineStr">
        <is>
          <t>OPS</t>
        </is>
      </c>
      <c r="N2" s="4" t="n"/>
      <c r="O2" s="3" t="inlineStr">
        <is>
          <t>PRP-00007252</t>
        </is>
      </c>
      <c r="P2" s="3" t="inlineStr"/>
      <c r="Q2" s="6" t="n">
        <v>2</v>
      </c>
      <c r="R2" s="6" t="n">
        <v>2</v>
      </c>
      <c r="S2" s="4" t="n"/>
      <c r="T2" s="4" t="n"/>
      <c r="U2" s="4" t="n"/>
      <c r="V2" s="4" t="n"/>
      <c r="W2" s="4" t="n"/>
      <c r="X2" s="4" t="n"/>
      <c r="Y2" s="5" t="n">
        <v>1</v>
      </c>
      <c r="Z2" s="4" t="n"/>
      <c r="AA2" s="4" t="n"/>
      <c r="AB2" s="7" t="n">
        <v>2</v>
      </c>
      <c r="AC2" s="4" t="n"/>
      <c r="AD2" s="8" t="n">
        <v>2</v>
      </c>
      <c r="AE2" s="8" t="n">
        <v>2</v>
      </c>
      <c r="AF2" s="4" t="n"/>
      <c r="AG2" s="4" t="n"/>
      <c r="AH2" s="4" t="n"/>
      <c r="AI2" s="4" t="n"/>
      <c r="AJ2" s="4" t="n"/>
      <c r="AK2" s="8" t="n">
        <v>373.68</v>
      </c>
      <c r="AL2" s="9" t="n">
        <v>46203</v>
      </c>
      <c r="AM2" s="9" t="n">
        <v>46567</v>
      </c>
      <c r="AN2" s="10" t="n">
        <v>12</v>
      </c>
      <c r="AO2" s="4" t="n"/>
      <c r="AP2" s="4" t="n"/>
      <c r="AQ2" s="4" t="n"/>
      <c r="AR2" s="4" t="n"/>
      <c r="AS2" s="11" t="n">
        <v>0.9946478270177692</v>
      </c>
      <c r="AT2" s="11" t="n">
        <v>0</v>
      </c>
      <c r="AU2" s="4" t="n"/>
      <c r="AV2" s="4" t="n"/>
      <c r="AW2" s="4" t="n"/>
      <c r="AX2" s="12" t="n">
        <v>0.08333333333333333</v>
      </c>
      <c r="AY2" s="12" t="n">
        <v>0</v>
      </c>
      <c r="AZ2" s="13" t="n">
        <v>2</v>
      </c>
      <c r="BA2" s="13" t="n">
        <v>0</v>
      </c>
      <c r="BB2" s="13" t="n">
        <v>2</v>
      </c>
      <c r="BC2" s="7" t="n">
        <v>2</v>
      </c>
      <c r="BD2" s="7" t="n">
        <v>2</v>
      </c>
      <c r="BE2" s="10" t="n">
        <v>12</v>
      </c>
      <c r="BF2" s="4" t="n"/>
      <c r="BG2" s="4" t="n"/>
      <c r="BH2" s="4" t="n"/>
      <c r="BI2" s="4" t="n"/>
      <c r="BJ2" s="4" t="n"/>
      <c r="BK2" s="4" t="n"/>
      <c r="BL2" s="4" t="n"/>
      <c r="BM2" s="4" t="n"/>
      <c r="BN2" s="5" t="n">
        <v>186.84</v>
      </c>
      <c r="BO2" s="4" t="n"/>
      <c r="BP2" s="4" t="n"/>
      <c r="BQ2" s="4" t="n"/>
      <c r="BR2" s="4" t="n"/>
      <c r="BS2" s="4" t="n"/>
      <c r="BT2" s="4" t="n"/>
      <c r="BU2" s="4" t="n"/>
      <c r="BV2" s="4" t="n"/>
      <c r="BW2" s="4" t="n"/>
      <c r="BX2" s="4" t="n"/>
      <c r="BY2" s="4" t="n"/>
      <c r="BZ2" s="3" t="inlineStr">
        <is>
          <t>No</t>
        </is>
      </c>
      <c r="CA2" s="4" t="n"/>
      <c r="CB2" s="4" t="n"/>
      <c r="CC2" s="4" t="n"/>
      <c r="CD2" s="4" t="n"/>
      <c r="CE2" s="4" t="n"/>
      <c r="CF2" s="14" t="n">
        <v>0.45</v>
      </c>
      <c r="CG2" s="14" t="n">
        <v>0.990268776395944</v>
      </c>
      <c r="CH2" s="15" t="n">
        <v>0.9946478270177692</v>
      </c>
      <c r="CI2" s="4" t="n"/>
    </row>
    <row r="3">
      <c r="A3" s="3" t="inlineStr">
        <is>
          <t>Keyva Seamless Data Pump for BMC DSO Solutions - MarketZone</t>
        </is>
      </c>
      <c r="B3" s="4" t="n"/>
      <c r="C3" s="4" t="n"/>
      <c r="D3" s="3" t="inlineStr">
        <is>
          <t>A-S00006179</t>
        </is>
      </c>
      <c r="E3" s="3" t="inlineStr">
        <is>
          <t>Generally Available</t>
        </is>
      </c>
      <c r="F3" s="3" t="inlineStr">
        <is>
          <t>ITOM</t>
        </is>
      </c>
      <c r="G3" s="3" t="inlineStr">
        <is>
          <t>ITOM On Prem</t>
        </is>
      </c>
      <c r="H3" s="3" t="inlineStr">
        <is>
          <t>per third-party software</t>
        </is>
      </c>
      <c r="I3" s="4" t="n"/>
      <c r="J3" s="4" t="n"/>
      <c r="K3" s="5" t="n">
        <v>3786.31</v>
      </c>
      <c r="L3" s="5" t="n">
        <v>2082.4705</v>
      </c>
      <c r="M3" s="3" t="inlineStr">
        <is>
          <t>OPS</t>
        </is>
      </c>
      <c r="N3" s="4" t="n"/>
      <c r="O3" s="3" t="inlineStr">
        <is>
          <t>PRP-00004584</t>
        </is>
      </c>
      <c r="P3" s="3" t="inlineStr"/>
      <c r="Q3" s="6" t="n">
        <v>3</v>
      </c>
      <c r="R3" s="6" t="n">
        <v>3</v>
      </c>
      <c r="S3" s="4" t="n"/>
      <c r="T3" s="4" t="n"/>
      <c r="U3" s="4" t="n"/>
      <c r="V3" s="4" t="n"/>
      <c r="W3" s="4" t="n"/>
      <c r="X3" s="4" t="n"/>
      <c r="Y3" s="5" t="n">
        <v>13572</v>
      </c>
      <c r="Z3" s="4" t="n"/>
      <c r="AA3" s="4" t="n"/>
      <c r="AB3" s="7" t="n">
        <v>35683</v>
      </c>
      <c r="AC3" s="4" t="n"/>
      <c r="AD3" s="8" t="n">
        <v>40716</v>
      </c>
      <c r="AE3" s="8" t="n">
        <v>40716</v>
      </c>
      <c r="AF3" s="4" t="n"/>
      <c r="AG3" s="4" t="n"/>
      <c r="AH3" s="4" t="n"/>
      <c r="AI3" s="4" t="n"/>
      <c r="AJ3" s="4" t="n"/>
      <c r="AK3" s="8" t="n">
        <v>136307.16</v>
      </c>
      <c r="AL3" s="9" t="n">
        <v>46203</v>
      </c>
      <c r="AM3" s="9" t="n">
        <v>46567</v>
      </c>
      <c r="AN3" s="10" t="n">
        <v>12</v>
      </c>
      <c r="AO3" s="4" t="n"/>
      <c r="AP3" s="4" t="n"/>
      <c r="AQ3" s="4" t="n"/>
      <c r="AR3" s="4" t="n"/>
      <c r="AS3" s="11" t="n">
        <v>0.7012922872136724</v>
      </c>
      <c r="AT3" s="11" t="n">
        <v>0</v>
      </c>
      <c r="AU3" s="4" t="n"/>
      <c r="AV3" s="4" t="n"/>
      <c r="AW3" s="4" t="n"/>
      <c r="AX3" s="12" t="n">
        <v>1131</v>
      </c>
      <c r="AY3" s="12" t="n">
        <v>0</v>
      </c>
      <c r="AZ3" s="13" t="n">
        <v>40716</v>
      </c>
      <c r="BA3" s="13" t="n">
        <v>0</v>
      </c>
      <c r="BB3" s="13" t="n">
        <v>40716</v>
      </c>
      <c r="BC3" s="7" t="n">
        <v>40716</v>
      </c>
      <c r="BD3" s="7" t="n">
        <v>39439</v>
      </c>
      <c r="BE3" s="10" t="n">
        <v>12</v>
      </c>
      <c r="BF3" s="4" t="n"/>
      <c r="BG3" s="4" t="n"/>
      <c r="BH3" s="4" t="n"/>
      <c r="BI3" s="4" t="n"/>
      <c r="BJ3" s="4" t="n"/>
      <c r="BK3" s="4" t="n"/>
      <c r="BL3" s="4" t="n"/>
      <c r="BM3" s="4" t="n"/>
      <c r="BN3" s="5" t="n">
        <v>45435.72</v>
      </c>
      <c r="BO3" s="4" t="n"/>
      <c r="BP3" s="4" t="n"/>
      <c r="BQ3" s="4" t="n"/>
      <c r="BR3" s="4" t="n"/>
      <c r="BS3" s="4" t="n"/>
      <c r="BT3" s="4" t="n"/>
      <c r="BU3" s="4" t="n"/>
      <c r="BV3" s="4" t="n"/>
      <c r="BW3" s="4" t="n"/>
      <c r="BX3" s="4" t="n"/>
      <c r="BY3" s="4" t="n"/>
      <c r="BZ3" s="3" t="inlineStr">
        <is>
          <t>No</t>
        </is>
      </c>
      <c r="CA3" s="4" t="n"/>
      <c r="CB3" s="4" t="n"/>
      <c r="CC3" s="4" t="n"/>
      <c r="CD3" s="4" t="n"/>
      <c r="CE3" s="4" t="n"/>
      <c r="CF3" s="14" t="n">
        <v>0.45</v>
      </c>
      <c r="CG3" s="14" t="n">
        <v>0.4568950676612227</v>
      </c>
      <c r="CH3" s="15" t="n">
        <v>0.7012922872136724</v>
      </c>
      <c r="CI3" s="4" t="n"/>
    </row>
    <row r="4">
      <c r="A4" s="3" t="inlineStr">
        <is>
          <t>BMC Helix Service Management OnPrem - Standard - Concurrent User</t>
        </is>
      </c>
      <c r="B4" s="4" t="n"/>
      <c r="C4" s="4" t="n"/>
      <c r="D4" s="3" t="inlineStr">
        <is>
          <t>A-S00006179</t>
        </is>
      </c>
      <c r="E4" s="3" t="inlineStr">
        <is>
          <t>Withdrawn</t>
        </is>
      </c>
      <c r="F4" s="3" t="inlineStr">
        <is>
          <t>ITSM</t>
        </is>
      </c>
      <c r="G4" s="3" t="inlineStr">
        <is>
          <t>ITSM On Prem</t>
        </is>
      </c>
      <c r="H4" s="3" t="inlineStr">
        <is>
          <t>per concurrent user</t>
        </is>
      </c>
      <c r="I4" s="4" t="n"/>
      <c r="J4" s="4" t="n"/>
      <c r="K4" s="5" t="n">
        <v>791.12</v>
      </c>
      <c r="L4" s="5" t="n">
        <v>435.116</v>
      </c>
      <c r="M4" s="3" t="inlineStr">
        <is>
          <t>OPS</t>
        </is>
      </c>
      <c r="N4" s="4" t="n"/>
      <c r="O4" s="3" t="inlineStr">
        <is>
          <t>PRP-00004874</t>
        </is>
      </c>
      <c r="P4" s="3" t="inlineStr"/>
      <c r="Q4" s="6" t="n">
        <v>80</v>
      </c>
      <c r="R4" s="6" t="n">
        <v>80</v>
      </c>
      <c r="S4" s="4" t="n"/>
      <c r="T4" s="4" t="n"/>
      <c r="U4" s="4" t="n"/>
      <c r="V4" s="4" t="n"/>
      <c r="W4" s="4" t="n"/>
      <c r="X4" s="4" t="n"/>
      <c r="Y4" s="5" t="n">
        <v>55.225</v>
      </c>
      <c r="Z4" s="4" t="n"/>
      <c r="AA4" s="4" t="n"/>
      <c r="AB4" s="7" t="n">
        <v>3872</v>
      </c>
      <c r="AC4" s="4" t="n"/>
      <c r="AD4" s="8" t="n">
        <v>4418</v>
      </c>
      <c r="AE4" s="8" t="n">
        <v>4418</v>
      </c>
      <c r="AF4" s="4" t="n"/>
      <c r="AG4" s="4" t="n"/>
      <c r="AH4" s="4" t="n"/>
      <c r="AI4" s="4" t="n"/>
      <c r="AJ4" s="4" t="n"/>
      <c r="AK4" s="8" t="n">
        <v>759475.2000000001</v>
      </c>
      <c r="AL4" s="9" t="n">
        <v>46203</v>
      </c>
      <c r="AM4" s="9" t="n">
        <v>46567</v>
      </c>
      <c r="AN4" s="10" t="n">
        <v>12</v>
      </c>
      <c r="AO4" s="9" t="n">
        <v>48457</v>
      </c>
      <c r="AP4" s="4" t="n"/>
      <c r="AQ4" s="4" t="n"/>
      <c r="AR4" s="4" t="n"/>
      <c r="AS4" s="11" t="n">
        <v>0.9941828251929754</v>
      </c>
      <c r="AT4" s="11" t="n">
        <v>0</v>
      </c>
      <c r="AU4" s="4" t="n"/>
      <c r="AV4" s="4" t="n"/>
      <c r="AW4" s="4" t="n"/>
      <c r="AX4" s="12" t="n">
        <v>4.602083333333297</v>
      </c>
      <c r="AY4" s="12" t="n">
        <v>0</v>
      </c>
      <c r="AZ4" s="13" t="n">
        <v>4418</v>
      </c>
      <c r="BA4" s="13" t="n">
        <v>0</v>
      </c>
      <c r="BB4" s="13" t="n">
        <v>4418</v>
      </c>
      <c r="BC4" s="7" t="n">
        <v>4418</v>
      </c>
      <c r="BD4" s="7" t="n">
        <v>4280</v>
      </c>
      <c r="BE4" s="10" t="n">
        <v>12</v>
      </c>
      <c r="BF4" s="4" t="n"/>
      <c r="BG4" s="4" t="n"/>
      <c r="BH4" s="4" t="n"/>
      <c r="BI4" s="4" t="n"/>
      <c r="BJ4" s="4" t="n"/>
      <c r="BK4" s="4" t="n"/>
      <c r="BL4" s="4" t="n"/>
      <c r="BM4" s="4" t="n"/>
      <c r="BN4" s="5" t="n">
        <v>9493.440000000001</v>
      </c>
      <c r="BO4" s="4" t="n"/>
      <c r="BP4" s="4" t="n"/>
      <c r="BQ4" s="4" t="n"/>
      <c r="BR4" s="4" t="n"/>
      <c r="BS4" s="4" t="n"/>
      <c r="BT4" s="4" t="n"/>
      <c r="BU4" s="4" t="n"/>
      <c r="BV4" s="4" t="n"/>
      <c r="BW4" s="4" t="n"/>
      <c r="BX4" s="4" t="n"/>
      <c r="BY4" s="4" t="n"/>
      <c r="BZ4" s="3" t="inlineStr">
        <is>
          <t>No</t>
        </is>
      </c>
      <c r="CA4" s="4" t="n"/>
      <c r="CB4" s="4" t="n"/>
      <c r="CC4" s="4" t="n"/>
      <c r="CD4" s="4" t="n"/>
      <c r="CE4" s="4" t="n"/>
      <c r="CF4" s="14" t="n">
        <v>0.45</v>
      </c>
      <c r="CG4" s="14" t="n">
        <v>0.9894233185326825</v>
      </c>
      <c r="CH4" s="15" t="n">
        <v>0.9941828251929754</v>
      </c>
      <c r="CI4" s="4" t="n"/>
    </row>
    <row r="5">
      <c r="A5" s="3" t="inlineStr">
        <is>
          <t>BMC Helix Service Management OnPrem - Standard - Named User</t>
        </is>
      </c>
      <c r="B5" s="4" t="n"/>
      <c r="C5" s="4" t="n"/>
      <c r="D5" s="3" t="inlineStr">
        <is>
          <t>A-S00006179</t>
        </is>
      </c>
      <c r="E5" s="3" t="inlineStr">
        <is>
          <t>Withdrawn</t>
        </is>
      </c>
      <c r="F5" s="3" t="inlineStr">
        <is>
          <t>ITSM</t>
        </is>
      </c>
      <c r="G5" s="3" t="inlineStr">
        <is>
          <t>ITSM On Prem</t>
        </is>
      </c>
      <c r="H5" s="3" t="inlineStr">
        <is>
          <t>per named user</t>
        </is>
      </c>
      <c r="I5" s="4" t="n"/>
      <c r="J5" s="4" t="n"/>
      <c r="K5" s="5" t="n">
        <v>263.71</v>
      </c>
      <c r="L5" s="5" t="n">
        <v>145.0405</v>
      </c>
      <c r="M5" s="3" t="inlineStr">
        <is>
          <t>OPS</t>
        </is>
      </c>
      <c r="N5" s="4" t="n"/>
      <c r="O5" s="3" t="inlineStr">
        <is>
          <t>PRP-00004876</t>
        </is>
      </c>
      <c r="P5" s="3" t="inlineStr"/>
      <c r="Q5" s="6" t="n">
        <v>50</v>
      </c>
      <c r="R5" s="6" t="n">
        <v>50</v>
      </c>
      <c r="S5" s="4" t="n"/>
      <c r="T5" s="4" t="n"/>
      <c r="U5" s="4" t="n"/>
      <c r="V5" s="4" t="n"/>
      <c r="W5" s="4" t="n"/>
      <c r="X5" s="4" t="n"/>
      <c r="Y5" s="5" t="n">
        <v>18.4</v>
      </c>
      <c r="Z5" s="4" t="n"/>
      <c r="AA5" s="4" t="n"/>
      <c r="AB5" s="7" t="n">
        <v>807</v>
      </c>
      <c r="AC5" s="4" t="n"/>
      <c r="AD5" s="8" t="n">
        <v>919.9999999999999</v>
      </c>
      <c r="AE5" s="8" t="n">
        <v>919.9999999999999</v>
      </c>
      <c r="AF5" s="4" t="n"/>
      <c r="AG5" s="4" t="n"/>
      <c r="AH5" s="4" t="n"/>
      <c r="AI5" s="4" t="n"/>
      <c r="AJ5" s="4" t="n"/>
      <c r="AK5" s="8" t="n">
        <v>158226</v>
      </c>
      <c r="AL5" s="9" t="n">
        <v>46203</v>
      </c>
      <c r="AM5" s="9" t="n">
        <v>46567</v>
      </c>
      <c r="AN5" s="10" t="n">
        <v>12</v>
      </c>
      <c r="AO5" s="9" t="n">
        <v>48457</v>
      </c>
      <c r="AP5" s="4" t="n"/>
      <c r="AQ5" s="4" t="n"/>
      <c r="AR5" s="4" t="n"/>
      <c r="AS5" s="11" t="n">
        <v>0.9941855320870148</v>
      </c>
      <c r="AT5" s="11" t="n">
        <v>0</v>
      </c>
      <c r="AU5" s="4" t="n"/>
      <c r="AV5" s="4" t="n"/>
      <c r="AW5" s="4" t="n"/>
      <c r="AX5" s="12" t="n">
        <v>1.533333333333336</v>
      </c>
      <c r="AY5" s="12" t="n">
        <v>0</v>
      </c>
      <c r="AZ5" s="13" t="n">
        <v>920</v>
      </c>
      <c r="BA5" s="13" t="n">
        <v>0</v>
      </c>
      <c r="BB5" s="13" t="n">
        <v>920</v>
      </c>
      <c r="BC5" s="7" t="n">
        <v>920</v>
      </c>
      <c r="BD5" s="7" t="n">
        <v>892</v>
      </c>
      <c r="BE5" s="10" t="n">
        <v>12</v>
      </c>
      <c r="BF5" s="4" t="n"/>
      <c r="BG5" s="4" t="n"/>
      <c r="BH5" s="4" t="n"/>
      <c r="BI5" s="4" t="n"/>
      <c r="BJ5" s="4" t="n"/>
      <c r="BK5" s="4" t="n"/>
      <c r="BL5" s="4" t="n"/>
      <c r="BM5" s="4" t="n"/>
      <c r="BN5" s="5" t="n">
        <v>3164.52</v>
      </c>
      <c r="BO5" s="4" t="n"/>
      <c r="BP5" s="4" t="n"/>
      <c r="BQ5" s="4" t="n"/>
      <c r="BR5" s="4" t="n"/>
      <c r="BS5" s="4" t="n"/>
      <c r="BT5" s="4" t="n"/>
      <c r="BU5" s="4" t="n"/>
      <c r="BV5" s="4" t="n"/>
      <c r="BW5" s="4" t="n"/>
      <c r="BX5" s="4" t="n"/>
      <c r="BY5" s="4" t="n"/>
      <c r="BZ5" s="3" t="inlineStr">
        <is>
          <t>No</t>
        </is>
      </c>
      <c r="CA5" s="4" t="n"/>
      <c r="CB5" s="4" t="n"/>
      <c r="CC5" s="4" t="n"/>
      <c r="CD5" s="4" t="n"/>
      <c r="CE5" s="4" t="n"/>
      <c r="CF5" s="14" t="n">
        <v>0.45</v>
      </c>
      <c r="CG5" s="14" t="n">
        <v>0.9894282401582086</v>
      </c>
      <c r="CH5" s="15" t="n">
        <v>0.9941855320870148</v>
      </c>
      <c r="CI5" s="4" t="n"/>
    </row>
    <row r="6">
      <c r="A6" s="3" t="inlineStr">
        <is>
          <t>TrueSight Automation for Servers</t>
        </is>
      </c>
      <c r="B6" s="4" t="n"/>
      <c r="C6" s="4" t="n"/>
      <c r="D6" s="3" t="inlineStr">
        <is>
          <t>A-S00006179</t>
        </is>
      </c>
      <c r="E6" s="3" t="inlineStr">
        <is>
          <t>Generally Available</t>
        </is>
      </c>
      <c r="F6" s="3" t="inlineStr">
        <is>
          <t>Remediate</t>
        </is>
      </c>
      <c r="G6" s="3" t="inlineStr">
        <is>
          <t>Remediate On Prem</t>
        </is>
      </c>
      <c r="H6" s="3" t="inlineStr">
        <is>
          <t>per managed asset - server endpoint</t>
        </is>
      </c>
      <c r="I6" s="4" t="n"/>
      <c r="J6" s="4" t="n"/>
      <c r="K6" s="5" t="n">
        <v>130.37</v>
      </c>
      <c r="L6" s="5" t="n">
        <v>71.70350000000001</v>
      </c>
      <c r="M6" s="3" t="inlineStr">
        <is>
          <t>OPS</t>
        </is>
      </c>
      <c r="N6" s="4" t="n"/>
      <c r="O6" s="3" t="inlineStr">
        <is>
          <t>PRP-00004370</t>
        </is>
      </c>
      <c r="P6" s="3" t="inlineStr"/>
      <c r="Q6" s="6" t="n">
        <v>20000</v>
      </c>
      <c r="R6" s="6" t="n">
        <v>20000</v>
      </c>
      <c r="S6" s="4" t="n"/>
      <c r="T6" s="4" t="n"/>
      <c r="U6" s="4" t="n"/>
      <c r="V6" s="4" t="n"/>
      <c r="W6" s="4" t="n"/>
      <c r="X6" s="4" t="n"/>
      <c r="Y6" s="5" t="n">
        <v>8.81565</v>
      </c>
      <c r="Z6" s="4" t="n"/>
      <c r="AA6" s="4" t="n"/>
      <c r="AB6" s="7" t="n">
        <v>159522</v>
      </c>
      <c r="AC6" s="4" t="n"/>
      <c r="AD6" s="8" t="n">
        <v>176313</v>
      </c>
      <c r="AE6" s="8" t="n">
        <v>176313</v>
      </c>
      <c r="AF6" s="4" t="n"/>
      <c r="AG6" s="4" t="n"/>
      <c r="AH6" s="4" t="n"/>
      <c r="AI6" s="4" t="n"/>
      <c r="AJ6" s="4" t="n"/>
      <c r="AK6" s="8" t="n">
        <v>31288800</v>
      </c>
      <c r="AL6" s="9" t="n">
        <v>46203</v>
      </c>
      <c r="AM6" s="9" t="n">
        <v>46567</v>
      </c>
      <c r="AN6" s="10" t="n">
        <v>12</v>
      </c>
      <c r="AO6" s="4" t="n"/>
      <c r="AP6" s="4" t="n"/>
      <c r="AQ6" s="4" t="n"/>
      <c r="AR6" s="4" t="n"/>
      <c r="AS6" s="11" t="n">
        <v>0.9943649804402853</v>
      </c>
      <c r="AT6" s="11" t="n">
        <v>0</v>
      </c>
      <c r="AU6" s="4" t="n"/>
      <c r="AV6" s="4" t="n"/>
      <c r="AW6" s="4" t="n"/>
      <c r="AX6" s="12" t="n">
        <v>0.7346375000000032</v>
      </c>
      <c r="AY6" s="12" t="n">
        <v>0</v>
      </c>
      <c r="AZ6" s="13" t="n">
        <v>176313</v>
      </c>
      <c r="BA6" s="13" t="n">
        <v>0</v>
      </c>
      <c r="BB6" s="13" t="n">
        <v>176313</v>
      </c>
      <c r="BC6" s="7" t="n">
        <v>176313</v>
      </c>
      <c r="BD6" s="7" t="n">
        <v>176313</v>
      </c>
      <c r="BE6" s="10" t="n">
        <v>12</v>
      </c>
      <c r="BF6" s="4" t="n"/>
      <c r="BG6" s="4" t="n"/>
      <c r="BH6" s="4" t="n"/>
      <c r="BI6" s="4" t="n"/>
      <c r="BJ6" s="4" t="n"/>
      <c r="BK6" s="4" t="n"/>
      <c r="BL6" s="4" t="n"/>
      <c r="BM6" s="4" t="n"/>
      <c r="BN6" s="5" t="n">
        <v>1564.44</v>
      </c>
      <c r="BO6" s="4" t="n"/>
      <c r="BP6" s="4" t="n"/>
      <c r="BQ6" s="4" t="n"/>
      <c r="BR6" s="4" t="n"/>
      <c r="BS6" s="4" t="n"/>
      <c r="BT6" s="4" t="n"/>
      <c r="BU6" s="4" t="n"/>
      <c r="BV6" s="4" t="n"/>
      <c r="BW6" s="4" t="n"/>
      <c r="BX6" s="4" t="n"/>
      <c r="BY6" s="4" t="n"/>
      <c r="BZ6" s="3" t="inlineStr">
        <is>
          <t>No</t>
        </is>
      </c>
      <c r="CA6" s="4" t="n"/>
      <c r="CB6" s="4" t="n"/>
      <c r="CC6" s="4" t="n"/>
      <c r="CD6" s="4" t="n"/>
      <c r="CE6" s="4" t="n"/>
      <c r="CF6" s="14" t="n">
        <v>0.45</v>
      </c>
      <c r="CG6" s="14" t="n">
        <v>0.9897545098914279</v>
      </c>
      <c r="CH6" s="15" t="n">
        <v>0.9943649804402853</v>
      </c>
      <c r="CI6" s="4" t="n"/>
    </row>
    <row r="7">
      <c r="A7" s="3" t="inlineStr">
        <is>
          <t>TrueSight Automation Suite - Base License</t>
        </is>
      </c>
      <c r="B7" s="4" t="n"/>
      <c r="C7" s="4" t="n"/>
      <c r="D7" s="3" t="inlineStr">
        <is>
          <t>A-S00006179</t>
        </is>
      </c>
      <c r="E7" s="3" t="inlineStr">
        <is>
          <t>Generally Available</t>
        </is>
      </c>
      <c r="F7" s="3" t="inlineStr">
        <is>
          <t>Remediate</t>
        </is>
      </c>
      <c r="G7" s="3" t="inlineStr">
        <is>
          <t>Remediate On Prem</t>
        </is>
      </c>
      <c r="H7" s="3" t="inlineStr">
        <is>
          <t>per enterprise</t>
        </is>
      </c>
      <c r="I7" s="4" t="n"/>
      <c r="J7" s="4" t="n"/>
      <c r="K7" s="5" t="n">
        <v>1869.27</v>
      </c>
      <c r="L7" s="5" t="n">
        <v>1028.0985</v>
      </c>
      <c r="M7" s="3" t="inlineStr">
        <is>
          <t>OPS</t>
        </is>
      </c>
      <c r="N7" s="4" t="n"/>
      <c r="O7" s="3" t="inlineStr">
        <is>
          <t>PRP-00000736</t>
        </is>
      </c>
      <c r="P7" s="3" t="inlineStr"/>
      <c r="Q7" s="6" t="n">
        <v>1</v>
      </c>
      <c r="R7" s="6" t="n">
        <v>1</v>
      </c>
      <c r="S7" s="4" t="n"/>
      <c r="T7" s="4" t="n"/>
      <c r="U7" s="4" t="n"/>
      <c r="V7" s="4" t="n"/>
      <c r="W7" s="4" t="n"/>
      <c r="X7" s="4" t="n"/>
      <c r="Y7" s="5" t="n">
        <v>126</v>
      </c>
      <c r="Z7" s="4" t="n"/>
      <c r="AA7" s="4" t="n"/>
      <c r="AB7" s="7" t="n">
        <v>120</v>
      </c>
      <c r="AC7" s="4" t="n"/>
      <c r="AD7" s="8" t="n">
        <v>126</v>
      </c>
      <c r="AE7" s="8" t="n">
        <v>126</v>
      </c>
      <c r="AF7" s="4" t="n"/>
      <c r="AG7" s="4" t="n"/>
      <c r="AH7" s="4" t="n"/>
      <c r="AI7" s="4" t="n"/>
      <c r="AJ7" s="4" t="n"/>
      <c r="AK7" s="8" t="n">
        <v>22431.24</v>
      </c>
      <c r="AL7" s="9" t="n">
        <v>46203</v>
      </c>
      <c r="AM7" s="9" t="n">
        <v>46567</v>
      </c>
      <c r="AN7" s="10" t="n">
        <v>12</v>
      </c>
      <c r="AO7" s="4" t="n"/>
      <c r="AP7" s="4" t="n"/>
      <c r="AQ7" s="4" t="n"/>
      <c r="AR7" s="4" t="n"/>
      <c r="AS7" s="11" t="n">
        <v>0.9943828339405222</v>
      </c>
      <c r="AT7" s="11" t="n">
        <v>0</v>
      </c>
      <c r="AU7" s="4" t="n"/>
      <c r="AV7" s="4" t="n"/>
      <c r="AW7" s="4" t="n"/>
      <c r="AX7" s="12" t="n">
        <v>10.5000000000001</v>
      </c>
      <c r="AY7" s="12" t="n">
        <v>0</v>
      </c>
      <c r="AZ7" s="13" t="n">
        <v>126</v>
      </c>
      <c r="BA7" s="13" t="n">
        <v>0</v>
      </c>
      <c r="BB7" s="13" t="n">
        <v>126</v>
      </c>
      <c r="BC7" s="7" t="n">
        <v>126</v>
      </c>
      <c r="BD7" s="7" t="n">
        <v>126</v>
      </c>
      <c r="BE7" s="10" t="n">
        <v>12</v>
      </c>
      <c r="BF7" s="4" t="n"/>
      <c r="BG7" s="4" t="n"/>
      <c r="BH7" s="4" t="n"/>
      <c r="BI7" s="4" t="n"/>
      <c r="BJ7" s="4" t="n"/>
      <c r="BK7" s="4" t="n"/>
      <c r="BL7" s="4" t="n"/>
      <c r="BM7" s="4" t="n"/>
      <c r="BN7" s="5" t="n">
        <v>22431.24</v>
      </c>
      <c r="BO7" s="4" t="n"/>
      <c r="BP7" s="4" t="n"/>
      <c r="BQ7" s="4" t="n"/>
      <c r="BR7" s="4" t="n"/>
      <c r="BS7" s="4" t="n"/>
      <c r="BT7" s="4" t="n"/>
      <c r="BU7" s="4" t="n"/>
      <c r="BV7" s="4" t="n"/>
      <c r="BW7" s="4" t="n"/>
      <c r="BX7" s="4" t="n"/>
      <c r="BY7" s="4" t="n"/>
      <c r="BZ7" s="3" t="inlineStr">
        <is>
          <t>No</t>
        </is>
      </c>
      <c r="CA7" s="4" t="n"/>
      <c r="CB7" s="4" t="n"/>
      <c r="CC7" s="4" t="n"/>
      <c r="CD7" s="4" t="n"/>
      <c r="CE7" s="4" t="n"/>
      <c r="CF7" s="14" t="n">
        <v>0.45</v>
      </c>
      <c r="CG7" s="14" t="n">
        <v>0.9897869708009495</v>
      </c>
      <c r="CH7" s="15" t="n">
        <v>0.9943828339405222</v>
      </c>
      <c r="CI7" s="4" t="n"/>
    </row>
    <row r="8">
      <c r="A8" s="3" t="inlineStr">
        <is>
          <t>TrueSight Orchestration - Adapters License Add-on</t>
        </is>
      </c>
      <c r="B8" s="4" t="n"/>
      <c r="C8" s="4" t="n"/>
      <c r="D8" s="3" t="inlineStr">
        <is>
          <t>A-S00006179</t>
        </is>
      </c>
      <c r="E8" s="3" t="inlineStr">
        <is>
          <t>Generally Available</t>
        </is>
      </c>
      <c r="F8" s="3" t="inlineStr">
        <is>
          <t>Remediate</t>
        </is>
      </c>
      <c r="G8" s="3" t="inlineStr">
        <is>
          <t>Remediate On Prem</t>
        </is>
      </c>
      <c r="H8" s="3" t="inlineStr">
        <is>
          <t>per adapter</t>
        </is>
      </c>
      <c r="I8" s="4" t="n"/>
      <c r="J8" s="4" t="n"/>
      <c r="K8" s="5" t="n">
        <v>3738.53</v>
      </c>
      <c r="L8" s="5" t="n">
        <v>2056.1915</v>
      </c>
      <c r="M8" s="3" t="inlineStr">
        <is>
          <t>OPS</t>
        </is>
      </c>
      <c r="N8" s="4" t="n"/>
      <c r="O8" s="3" t="inlineStr">
        <is>
          <t>PRP-00000627</t>
        </is>
      </c>
      <c r="P8" s="3" t="inlineStr"/>
      <c r="Q8" s="6" t="n">
        <v>3</v>
      </c>
      <c r="R8" s="6" t="n">
        <v>3</v>
      </c>
      <c r="S8" s="4" t="n"/>
      <c r="T8" s="4" t="n"/>
      <c r="U8" s="4" t="n"/>
      <c r="V8" s="4" t="n"/>
      <c r="W8" s="4" t="n"/>
      <c r="X8" s="4" t="n"/>
      <c r="Y8" s="5" t="n">
        <v>252.6666666666667</v>
      </c>
      <c r="Z8" s="4" t="n"/>
      <c r="AA8" s="4" t="n"/>
      <c r="AB8" s="7" t="n">
        <v>722</v>
      </c>
      <c r="AC8" s="4" t="n"/>
      <c r="AD8" s="8" t="n">
        <v>758</v>
      </c>
      <c r="AE8" s="8" t="n">
        <v>758</v>
      </c>
      <c r="AF8" s="4" t="n"/>
      <c r="AG8" s="4" t="n"/>
      <c r="AH8" s="4" t="n"/>
      <c r="AI8" s="4" t="n"/>
      <c r="AJ8" s="4" t="n"/>
      <c r="AK8" s="8" t="n">
        <v>134587.08</v>
      </c>
      <c r="AL8" s="9" t="n">
        <v>46203</v>
      </c>
      <c r="AM8" s="9" t="n">
        <v>46567</v>
      </c>
      <c r="AN8" s="10" t="n">
        <v>12</v>
      </c>
      <c r="AO8" s="4" t="n"/>
      <c r="AP8" s="4" t="n"/>
      <c r="AQ8" s="4" t="n"/>
      <c r="AR8" s="4" t="n"/>
      <c r="AS8" s="11" t="n">
        <v>0.9943679586480366</v>
      </c>
      <c r="AT8" s="11" t="n">
        <v>0</v>
      </c>
      <c r="AU8" s="4" t="n"/>
      <c r="AV8" s="4" t="n"/>
      <c r="AW8" s="4" t="n"/>
      <c r="AX8" s="12" t="n">
        <v>21.05555555555565</v>
      </c>
      <c r="AY8" s="12" t="n">
        <v>0</v>
      </c>
      <c r="AZ8" s="13" t="n">
        <v>758</v>
      </c>
      <c r="BA8" s="13" t="n">
        <v>0</v>
      </c>
      <c r="BB8" s="13" t="n">
        <v>758</v>
      </c>
      <c r="BC8" s="7" t="n">
        <v>758</v>
      </c>
      <c r="BD8" s="7" t="n">
        <v>758</v>
      </c>
      <c r="BE8" s="10" t="n">
        <v>12</v>
      </c>
      <c r="BF8" s="4" t="n"/>
      <c r="BG8" s="4" t="n"/>
      <c r="BH8" s="4" t="n"/>
      <c r="BI8" s="4" t="n"/>
      <c r="BJ8" s="4" t="n"/>
      <c r="BK8" s="4" t="n"/>
      <c r="BL8" s="4" t="n"/>
      <c r="BM8" s="4" t="n"/>
      <c r="BN8" s="5" t="n">
        <v>44862.36</v>
      </c>
      <c r="BO8" s="4" t="n"/>
      <c r="BP8" s="4" t="n"/>
      <c r="BQ8" s="4" t="n"/>
      <c r="BR8" s="4" t="n"/>
      <c r="BS8" s="4" t="n"/>
      <c r="BT8" s="4" t="n"/>
      <c r="BU8" s="4" t="n"/>
      <c r="BV8" s="4" t="n"/>
      <c r="BW8" s="4" t="n"/>
      <c r="BX8" s="4" t="n"/>
      <c r="BY8" s="4" t="n"/>
      <c r="BZ8" s="3" t="inlineStr">
        <is>
          <t>No</t>
        </is>
      </c>
      <c r="CA8" s="4" t="n"/>
      <c r="CB8" s="4" t="n"/>
      <c r="CC8" s="4" t="n"/>
      <c r="CD8" s="4" t="n"/>
      <c r="CE8" s="4" t="n"/>
      <c r="CF8" s="14" t="n">
        <v>0.45</v>
      </c>
      <c r="CG8" s="14" t="n">
        <v>0.9897599248146121</v>
      </c>
      <c r="CH8" s="15" t="n">
        <v>0.9943679586480366</v>
      </c>
      <c r="CI8" s="4" t="n"/>
    </row>
    <row r="9">
      <c r="A9" s="3" t="inlineStr">
        <is>
          <t>TrueSight Orchestration - Development Pack License Add-on</t>
        </is>
      </c>
      <c r="B9" s="4" t="n"/>
      <c r="C9" s="4" t="n"/>
      <c r="D9" s="3" t="inlineStr">
        <is>
          <t>A-S00006179</t>
        </is>
      </c>
      <c r="E9" s="3" t="inlineStr">
        <is>
          <t>Generally Available</t>
        </is>
      </c>
      <c r="F9" s="3" t="inlineStr">
        <is>
          <t>Remediate</t>
        </is>
      </c>
      <c r="G9" s="3" t="inlineStr">
        <is>
          <t>Remediate On Prem</t>
        </is>
      </c>
      <c r="H9" s="3" t="inlineStr">
        <is>
          <t>per enterprise</t>
        </is>
      </c>
      <c r="I9" s="4" t="n"/>
      <c r="J9" s="4" t="n"/>
      <c r="K9" s="5" t="n">
        <v>24300.54</v>
      </c>
      <c r="L9" s="5" t="n">
        <v>13365.297</v>
      </c>
      <c r="M9" s="3" t="inlineStr">
        <is>
          <t>OPS</t>
        </is>
      </c>
      <c r="N9" s="4" t="n"/>
      <c r="O9" s="3" t="inlineStr">
        <is>
          <t>PRP-00000734</t>
        </is>
      </c>
      <c r="P9" s="3" t="inlineStr"/>
      <c r="Q9" s="6" t="n">
        <v>1</v>
      </c>
      <c r="R9" s="6" t="n">
        <v>1</v>
      </c>
      <c r="S9" s="4" t="n"/>
      <c r="T9" s="4" t="n"/>
      <c r="U9" s="4" t="n"/>
      <c r="V9" s="4" t="n"/>
      <c r="W9" s="4" t="n"/>
      <c r="X9" s="4" t="n"/>
      <c r="Y9" s="5" t="n">
        <v>1643</v>
      </c>
      <c r="Z9" s="4" t="n"/>
      <c r="AA9" s="4" t="n"/>
      <c r="AB9" s="7" t="n">
        <v>1565</v>
      </c>
      <c r="AC9" s="4" t="n"/>
      <c r="AD9" s="8" t="n">
        <v>1643</v>
      </c>
      <c r="AE9" s="8" t="n">
        <v>1643</v>
      </c>
      <c r="AF9" s="4" t="n"/>
      <c r="AG9" s="4" t="n"/>
      <c r="AH9" s="4" t="n"/>
      <c r="AI9" s="4" t="n"/>
      <c r="AJ9" s="4" t="n"/>
      <c r="AK9" s="8" t="n">
        <v>291606.48</v>
      </c>
      <c r="AL9" s="9" t="n">
        <v>46203</v>
      </c>
      <c r="AM9" s="9" t="n">
        <v>46567</v>
      </c>
      <c r="AN9" s="10" t="n">
        <v>12</v>
      </c>
      <c r="AO9" s="4" t="n"/>
      <c r="AP9" s="4" t="n"/>
      <c r="AQ9" s="4" t="n"/>
      <c r="AR9" s="4" t="n"/>
      <c r="AS9" s="11" t="n">
        <v>0.994365694479766</v>
      </c>
      <c r="AT9" s="11" t="n">
        <v>0</v>
      </c>
      <c r="AU9" s="4" t="n"/>
      <c r="AV9" s="4" t="n"/>
      <c r="AW9" s="4" t="n"/>
      <c r="AX9" s="12" t="n">
        <v>136.9166666666678</v>
      </c>
      <c r="AY9" s="12" t="n">
        <v>0</v>
      </c>
      <c r="AZ9" s="13" t="n">
        <v>1643</v>
      </c>
      <c r="BA9" s="13" t="n">
        <v>0</v>
      </c>
      <c r="BB9" s="13" t="n">
        <v>1643</v>
      </c>
      <c r="BC9" s="7" t="n">
        <v>1643</v>
      </c>
      <c r="BD9" s="7" t="n">
        <v>1643</v>
      </c>
      <c r="BE9" s="10" t="n">
        <v>12</v>
      </c>
      <c r="BF9" s="4" t="n"/>
      <c r="BG9" s="4" t="n"/>
      <c r="BH9" s="4" t="n"/>
      <c r="BI9" s="4" t="n"/>
      <c r="BJ9" s="4" t="n"/>
      <c r="BK9" s="4" t="n"/>
      <c r="BL9" s="4" t="n"/>
      <c r="BM9" s="4" t="n"/>
      <c r="BN9" s="5" t="n">
        <v>291606.48</v>
      </c>
      <c r="BO9" s="4" t="n"/>
      <c r="BP9" s="4" t="n"/>
      <c r="BQ9" s="4" t="n"/>
      <c r="BR9" s="4" t="n"/>
      <c r="BS9" s="4" t="n"/>
      <c r="BT9" s="4" t="n"/>
      <c r="BU9" s="4" t="n"/>
      <c r="BV9" s="4" t="n"/>
      <c r="BW9" s="4" t="n"/>
      <c r="BX9" s="4" t="n"/>
      <c r="BY9" s="4" t="n"/>
      <c r="BZ9" s="3" t="inlineStr">
        <is>
          <t>No</t>
        </is>
      </c>
      <c r="CA9" s="4" t="n"/>
      <c r="CB9" s="4" t="n"/>
      <c r="CC9" s="4" t="n"/>
      <c r="CD9" s="4" t="n"/>
      <c r="CE9" s="4" t="n"/>
      <c r="CF9" s="14" t="n">
        <v>0.45</v>
      </c>
      <c r="CG9" s="14" t="n">
        <v>0.9897558081450291</v>
      </c>
      <c r="CH9" s="15" t="n">
        <v>0.994365694479766</v>
      </c>
      <c r="CI9" s="4" t="n"/>
    </row>
    <row r="10">
      <c r="A10" s="3" t="inlineStr">
        <is>
          <t>TrueSight Orchestration - Peer License Add-on</t>
        </is>
      </c>
      <c r="B10" s="4" t="n"/>
      <c r="C10" s="4" t="n"/>
      <c r="D10" s="3" t="inlineStr">
        <is>
          <t>A-S00006179</t>
        </is>
      </c>
      <c r="E10" s="3" t="inlineStr">
        <is>
          <t>Generally Available</t>
        </is>
      </c>
      <c r="F10" s="3" t="inlineStr">
        <is>
          <t>Remediate</t>
        </is>
      </c>
      <c r="G10" s="3" t="inlineStr">
        <is>
          <t>Remediate On Prem</t>
        </is>
      </c>
      <c r="H10" s="3" t="inlineStr">
        <is>
          <t>per instance</t>
        </is>
      </c>
      <c r="I10" s="4" t="n"/>
      <c r="J10" s="4" t="n"/>
      <c r="K10" s="5" t="n">
        <v>8224.799999999999</v>
      </c>
      <c r="L10" s="5" t="n">
        <v>4523.64</v>
      </c>
      <c r="M10" s="3" t="inlineStr">
        <is>
          <t>OPS</t>
        </is>
      </c>
      <c r="N10" s="4" t="n"/>
      <c r="O10" s="3" t="inlineStr">
        <is>
          <t>PRP-00000534</t>
        </is>
      </c>
      <c r="P10" s="3" t="inlineStr"/>
      <c r="Q10" s="6" t="n">
        <v>4</v>
      </c>
      <c r="R10" s="6" t="n">
        <v>4</v>
      </c>
      <c r="S10" s="4" t="n"/>
      <c r="T10" s="4" t="n"/>
      <c r="U10" s="4" t="n"/>
      <c r="V10" s="4" t="n"/>
      <c r="W10" s="4" t="n"/>
      <c r="X10" s="4" t="n"/>
      <c r="Y10" s="5" t="n">
        <v>556.25</v>
      </c>
      <c r="Z10" s="4" t="n"/>
      <c r="AA10" s="4" t="n"/>
      <c r="AB10" s="7" t="n">
        <v>2119</v>
      </c>
      <c r="AC10" s="4" t="n"/>
      <c r="AD10" s="8" t="n">
        <v>2225</v>
      </c>
      <c r="AE10" s="8" t="n">
        <v>2225</v>
      </c>
      <c r="AF10" s="4" t="n"/>
      <c r="AG10" s="4" t="n"/>
      <c r="AH10" s="4" t="n"/>
      <c r="AI10" s="4" t="n"/>
      <c r="AJ10" s="4" t="n"/>
      <c r="AK10" s="8" t="n">
        <v>394790.4</v>
      </c>
      <c r="AL10" s="9" t="n">
        <v>46203</v>
      </c>
      <c r="AM10" s="9" t="n">
        <v>46567</v>
      </c>
      <c r="AN10" s="10" t="n">
        <v>12</v>
      </c>
      <c r="AO10" s="4" t="n"/>
      <c r="AP10" s="4" t="n"/>
      <c r="AQ10" s="4" t="n"/>
      <c r="AR10" s="4" t="n"/>
      <c r="AS10" s="11" t="n">
        <v>0.994364098012515</v>
      </c>
      <c r="AT10" s="11" t="n">
        <v>0</v>
      </c>
      <c r="AU10" s="4" t="n"/>
      <c r="AV10" s="4" t="n"/>
      <c r="AW10" s="4" t="n"/>
      <c r="AX10" s="12" t="n">
        <v>46.35416666666647</v>
      </c>
      <c r="AY10" s="12" t="n">
        <v>0</v>
      </c>
      <c r="AZ10" s="13" t="n">
        <v>2225</v>
      </c>
      <c r="BA10" s="13" t="n">
        <v>0</v>
      </c>
      <c r="BB10" s="13" t="n">
        <v>2225</v>
      </c>
      <c r="BC10" s="7" t="n">
        <v>2225</v>
      </c>
      <c r="BD10" s="7" t="n">
        <v>2225</v>
      </c>
      <c r="BE10" s="10" t="n">
        <v>12</v>
      </c>
      <c r="BF10" s="4" t="n"/>
      <c r="BG10" s="4" t="n"/>
      <c r="BH10" s="4" t="n"/>
      <c r="BI10" s="4" t="n"/>
      <c r="BJ10" s="4" t="n"/>
      <c r="BK10" s="4" t="n"/>
      <c r="BL10" s="4" t="n"/>
      <c r="BM10" s="4" t="n"/>
      <c r="BN10" s="5" t="n">
        <v>98697.59999999999</v>
      </c>
      <c r="BO10" s="4" t="n"/>
      <c r="BP10" s="4" t="n"/>
      <c r="BQ10" s="4" t="n"/>
      <c r="BR10" s="4" t="n"/>
      <c r="BS10" s="4" t="n"/>
      <c r="BT10" s="4" t="n"/>
      <c r="BU10" s="4" t="n"/>
      <c r="BV10" s="4" t="n"/>
      <c r="BW10" s="4" t="n"/>
      <c r="BX10" s="4" t="n"/>
      <c r="BY10" s="4" t="n"/>
      <c r="BZ10" s="3" t="inlineStr">
        <is>
          <t>No</t>
        </is>
      </c>
      <c r="CA10" s="4" t="n"/>
      <c r="CB10" s="4" t="n"/>
      <c r="CC10" s="4" t="n"/>
      <c r="CD10" s="4" t="n"/>
      <c r="CE10" s="4" t="n"/>
      <c r="CF10" s="14" t="n">
        <v>0.45</v>
      </c>
      <c r="CG10" s="14" t="n">
        <v>0.9897529054773</v>
      </c>
      <c r="CH10" s="15" t="n">
        <v>0.994364098012515</v>
      </c>
      <c r="CI10" s="4" t="n"/>
    </row>
    <row r="11">
      <c r="A11" s="3" t="inlineStr">
        <is>
          <t>TrueSight Smart Reporting - Server Automation</t>
        </is>
      </c>
      <c r="B11" s="4" t="n"/>
      <c r="C11" s="4" t="n"/>
      <c r="D11" s="3" t="inlineStr">
        <is>
          <t>A-S00006179</t>
        </is>
      </c>
      <c r="E11" s="3" t="inlineStr">
        <is>
          <t>Generally Available</t>
        </is>
      </c>
      <c r="F11" s="3" t="inlineStr">
        <is>
          <t>Remediate</t>
        </is>
      </c>
      <c r="G11" s="3" t="inlineStr">
        <is>
          <t>Remediate On Prem</t>
        </is>
      </c>
      <c r="H11" s="3" t="inlineStr">
        <is>
          <t>per enterprise</t>
        </is>
      </c>
      <c r="I11" s="4" t="n"/>
      <c r="J11" s="4" t="n"/>
      <c r="K11" s="5" t="n">
        <v>2317.55</v>
      </c>
      <c r="L11" s="5" t="n">
        <v>1274.6525</v>
      </c>
      <c r="M11" s="3" t="inlineStr">
        <is>
          <t>OPS</t>
        </is>
      </c>
      <c r="N11" s="4" t="n"/>
      <c r="O11" s="3" t="inlineStr">
        <is>
          <t>PRP-00001332</t>
        </is>
      </c>
      <c r="P11" s="3" t="inlineStr"/>
      <c r="Q11" s="6" t="n">
        <v>1</v>
      </c>
      <c r="R11" s="6" t="n">
        <v>1</v>
      </c>
      <c r="S11" s="4" t="n"/>
      <c r="T11" s="4" t="n"/>
      <c r="U11" s="4" t="n"/>
      <c r="V11" s="4" t="n"/>
      <c r="W11" s="4" t="n"/>
      <c r="X11" s="4" t="n"/>
      <c r="Y11" s="5" t="n">
        <v>157</v>
      </c>
      <c r="Z11" s="4" t="n"/>
      <c r="AA11" s="4" t="n"/>
      <c r="AB11" s="7" t="n">
        <v>149</v>
      </c>
      <c r="AC11" s="4" t="n"/>
      <c r="AD11" s="8" t="n">
        <v>157</v>
      </c>
      <c r="AE11" s="8" t="n">
        <v>157</v>
      </c>
      <c r="AF11" s="4" t="n"/>
      <c r="AG11" s="4" t="n"/>
      <c r="AH11" s="4" t="n"/>
      <c r="AI11" s="4" t="n"/>
      <c r="AJ11" s="4" t="n"/>
      <c r="AK11" s="8" t="n">
        <v>27810.6</v>
      </c>
      <c r="AL11" s="9" t="n">
        <v>46203</v>
      </c>
      <c r="AM11" s="9" t="n">
        <v>46567</v>
      </c>
      <c r="AN11" s="10" t="n">
        <v>12</v>
      </c>
      <c r="AO11" s="4" t="n"/>
      <c r="AP11" s="4" t="n"/>
      <c r="AQ11" s="4" t="n"/>
      <c r="AR11" s="4" t="n"/>
      <c r="AS11" s="11" t="n">
        <v>0.994354670521312</v>
      </c>
      <c r="AT11" s="11" t="n">
        <v>0</v>
      </c>
      <c r="AU11" s="4" t="n"/>
      <c r="AV11" s="4" t="n"/>
      <c r="AW11" s="4" t="n"/>
      <c r="AX11" s="12" t="n">
        <v>13.0833333333334</v>
      </c>
      <c r="AY11" s="12" t="n">
        <v>0</v>
      </c>
      <c r="AZ11" s="13" t="n">
        <v>157</v>
      </c>
      <c r="BA11" s="13" t="n">
        <v>0</v>
      </c>
      <c r="BB11" s="13" t="n">
        <v>157</v>
      </c>
      <c r="BC11" s="7" t="n">
        <v>157</v>
      </c>
      <c r="BD11" s="7" t="n">
        <v>157</v>
      </c>
      <c r="BE11" s="10" t="n">
        <v>12</v>
      </c>
      <c r="BF11" s="4" t="n"/>
      <c r="BG11" s="4" t="n"/>
      <c r="BH11" s="4" t="n"/>
      <c r="BI11" s="4" t="n"/>
      <c r="BJ11" s="4" t="n"/>
      <c r="BK11" s="4" t="n"/>
      <c r="BL11" s="4" t="n"/>
      <c r="BM11" s="4" t="n"/>
      <c r="BN11" s="5" t="n">
        <v>27810.6</v>
      </c>
      <c r="BO11" s="4" t="n"/>
      <c r="BP11" s="4" t="n"/>
      <c r="BQ11" s="4" t="n"/>
      <c r="BR11" s="4" t="n"/>
      <c r="BS11" s="4" t="n"/>
      <c r="BT11" s="4" t="n"/>
      <c r="BU11" s="4" t="n"/>
      <c r="BV11" s="4" t="n"/>
      <c r="BW11" s="4" t="n"/>
      <c r="BX11" s="4" t="n"/>
      <c r="BY11" s="4" t="n"/>
      <c r="BZ11" s="3" t="inlineStr">
        <is>
          <t>No</t>
        </is>
      </c>
      <c r="CA11" s="4" t="n"/>
      <c r="CB11" s="4" t="n"/>
      <c r="CC11" s="4" t="n"/>
      <c r="CD11" s="4" t="n"/>
      <c r="CE11" s="4" t="n"/>
      <c r="CF11" s="14" t="n">
        <v>0.45</v>
      </c>
      <c r="CG11" s="14" t="n">
        <v>0.9897357645842036</v>
      </c>
      <c r="CH11" s="15" t="n">
        <v>0.994354670521312</v>
      </c>
      <c r="CI11" s="4" t="n"/>
    </row>
    <row r="12">
      <c r="A12" s="16" t="inlineStr">
        <is>
          <t>TOTAL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  <c r="AA12" s="17" t="n"/>
      <c r="AB12" s="18">
        <f>SUM(AB2:AB11)</f>
        <v/>
      </c>
      <c r="AC12" s="17" t="n"/>
      <c r="AD12" s="18">
        <f>SUM(AD2:AD11)</f>
        <v/>
      </c>
      <c r="AE12" s="18">
        <f>SUM(AE2:AE11)</f>
        <v/>
      </c>
      <c r="AF12" s="17" t="n"/>
      <c r="AG12" s="17" t="n"/>
      <c r="AH12" s="17" t="n"/>
      <c r="AI12" s="17" t="n"/>
      <c r="AJ12" s="17" t="n"/>
      <c r="AK12" s="18">
        <f>SUM(AK2:AK11)</f>
        <v/>
      </c>
      <c r="AL12" s="17" t="n"/>
      <c r="AM12" s="17" t="n"/>
      <c r="AN12" s="17" t="n"/>
      <c r="AO12" s="17" t="n"/>
      <c r="AP12" s="17" t="n"/>
      <c r="AQ12" s="17" t="n"/>
      <c r="AR12" s="17" t="n"/>
      <c r="AS12" s="17" t="n"/>
      <c r="AT12" s="17" t="n"/>
      <c r="AU12" s="17" t="n"/>
      <c r="AV12" s="17" t="n"/>
      <c r="AW12" s="17" t="n"/>
      <c r="AX12" s="17" t="n"/>
      <c r="AY12" s="17" t="n"/>
      <c r="AZ12" s="18">
        <f>SUM(AZ2:AZ11)</f>
        <v/>
      </c>
      <c r="BA12" s="18">
        <f>SUM(BA2:BA11)</f>
        <v/>
      </c>
      <c r="BB12" s="18">
        <f>SUM(BB2:BB11)</f>
        <v/>
      </c>
      <c r="BC12" s="17" t="n"/>
      <c r="BD12" s="17" t="n"/>
      <c r="BE12" s="17" t="n"/>
      <c r="BF12" s="17" t="n"/>
      <c r="BG12" s="17" t="n"/>
      <c r="BH12" s="17" t="n"/>
      <c r="BI12" s="17" t="n"/>
      <c r="BJ12" s="17" t="n"/>
      <c r="BK12" s="17" t="n"/>
      <c r="BL12" s="17" t="n"/>
      <c r="BM12" s="17" t="n"/>
      <c r="BN12" s="17" t="n"/>
      <c r="BO12" s="17" t="n"/>
      <c r="BP12" s="17" t="n"/>
      <c r="BQ12" s="17" t="n"/>
      <c r="BR12" s="17" t="n"/>
      <c r="BS12" s="17" t="n"/>
      <c r="BT12" s="17" t="n"/>
      <c r="BU12" s="17" t="n"/>
      <c r="BV12" s="17" t="n"/>
      <c r="BW12" s="17" t="n"/>
      <c r="BX12" s="17" t="n"/>
      <c r="BY12" s="17" t="n"/>
      <c r="BZ12" s="17" t="n"/>
      <c r="CA12" s="17" t="n"/>
      <c r="CB12" s="17" t="n"/>
      <c r="CC12" s="17" t="n"/>
      <c r="CD12" s="17" t="n"/>
      <c r="CE12" s="17" t="n"/>
      <c r="CF12" s="17" t="n"/>
      <c r="CG12" s="17" t="n"/>
      <c r="CH12" s="17" t="n"/>
      <c r="CI12" s="17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8" customWidth="1" min="1" max="1"/>
    <col width="60" customWidth="1" min="2" max="2"/>
  </cols>
  <sheetData>
    <row r="1">
      <c r="A1" s="19" t="inlineStr">
        <is>
          <t>Metric</t>
        </is>
      </c>
      <c r="B1" s="19" t="inlineStr">
        <is>
          <t>Value</t>
        </is>
      </c>
    </row>
    <row r="2">
      <c r="A2" s="3" t="inlineStr">
        <is>
          <t>Subscription Number</t>
        </is>
      </c>
      <c r="B2" s="20" t="inlineStr">
        <is>
          <t>A-S00006179</t>
        </is>
      </c>
    </row>
    <row r="3">
      <c r="A3" s="3" t="inlineStr">
        <is>
          <t>Start Date</t>
        </is>
      </c>
      <c r="B3" s="21" t="n">
        <v>46203</v>
      </c>
    </row>
    <row r="4">
      <c r="A4" s="3" t="inlineStr">
        <is>
          <t>End Date</t>
        </is>
      </c>
      <c r="B4" s="21" t="n">
        <v>46567</v>
      </c>
    </row>
    <row r="5">
      <c r="A5" s="3" t="inlineStr">
        <is>
          <t>Lines</t>
        </is>
      </c>
      <c r="B5" s="20" t="n">
        <v>10</v>
      </c>
    </row>
    <row r="6">
      <c r="A6" s="3" t="inlineStr">
        <is>
          <t>Total License (AZ)</t>
        </is>
      </c>
      <c r="B6" s="13" t="n">
        <v>227278</v>
      </c>
    </row>
    <row r="7">
      <c r="A7" s="3" t="inlineStr">
        <is>
          <t>Total Support (BA)</t>
        </is>
      </c>
      <c r="B7" s="13" t="n">
        <v>0</v>
      </c>
    </row>
    <row r="8">
      <c r="A8" s="3" t="inlineStr">
        <is>
          <t>Grand Total (BB)</t>
        </is>
      </c>
      <c r="B8" s="13" t="n">
        <v>227278</v>
      </c>
    </row>
    <row r="9">
      <c r="A9" s="3" t="inlineStr">
        <is>
          <t>List Value for Term (list × term months × qty)</t>
        </is>
      </c>
      <c r="B9" s="13" t="n">
        <v>33214407.84</v>
      </c>
    </row>
    <row r="10">
      <c r="A10" s="3" t="inlineStr">
        <is>
          <t>Total Annual List (AK)</t>
        </is>
      </c>
      <c r="B10" s="13" t="n">
        <v>33214407.84</v>
      </c>
    </row>
    <row r="11">
      <c r="A11" s="3" t="inlineStr">
        <is>
          <t>Overall Discount (1 − BB ÷ list value)</t>
        </is>
      </c>
      <c r="B11" s="15" t="n">
        <v>0.9931572466655182</v>
      </c>
    </row>
    <row r="12">
      <c r="A12" s="3" t="inlineStr">
        <is>
          <t>Prior Booked ACV (BRV)</t>
        </is>
      </c>
      <c r="B12" s="13" t="n">
        <v>204561</v>
      </c>
    </row>
    <row r="13">
      <c r="A13" s="3" t="inlineStr">
        <is>
          <t>Proposed ACV</t>
        </is>
      </c>
      <c r="B13" s="13" t="n">
        <v>227278</v>
      </c>
    </row>
    <row r="15">
      <c r="A15" s="22" t="inlineStr">
        <is>
          <t>All 10 lines were priced with Customer Tier GOSI Strategic (45.00%). 10 line(s) are OPS (on-prem subscription), where support is included in the monthly unit price, so no separate support rate or support charge applies. Line changes: 10 flat renewal(s). Undiscounted list value for the term (monthly list price × term months × proposed quantity) is $33,214,407.84; the grand total of $227,278.00 is an overall discount of 99.32% (1 − grand total ÷ list value). Total proposed ACV is $227,278.00 against prior booked ACV of $204,561.00.</t>
        </is>
      </c>
    </row>
    <row r="16"/>
    <row r="17"/>
    <row r="18"/>
    <row r="19"/>
    <row r="20"/>
    <row r="21"/>
  </sheetData>
  <mergeCells count="1">
    <mergeCell ref="A15:B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2026-09-24T06:03:45Z</dcterms:created>
  <dcterms:modified xsi:type="dcterms:W3CDTF">2026-09-24T06:03:45Z</dcterms:modified>
</cp:coreProperties>
</file>